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 Okuku\Downloads\"/>
    </mc:Choice>
  </mc:AlternateContent>
  <xr:revisionPtr revIDLastSave="0" documentId="13_ncr:1_{C215E955-819A-4953-A92F-BC6E3EE01BEA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Lace Stock by Colour" sheetId="1" r:id="rId1"/>
    <sheet name="Purs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84" i="1" l="1"/>
</calcChain>
</file>

<file path=xl/sharedStrings.xml><?xml version="1.0" encoding="utf-8"?>
<sst xmlns="http://schemas.openxmlformats.org/spreadsheetml/2006/main" count="246" uniqueCount="78">
  <si>
    <t>Colour</t>
  </si>
  <si>
    <t>Pattern</t>
  </si>
  <si>
    <t>Bundles (as counted)</t>
  </si>
  <si>
    <t>Extra unit qty</t>
  </si>
  <si>
    <t>Extra unit</t>
  </si>
  <si>
    <t>Source doc/page</t>
  </si>
  <si>
    <t>Black</t>
  </si>
  <si>
    <t>Scattered Roses</t>
  </si>
  <si>
    <t>Twinkled Curve</t>
  </si>
  <si>
    <t>Traces of Xmas</t>
  </si>
  <si>
    <t>Blue</t>
  </si>
  <si>
    <t>Xmas Tree</t>
  </si>
  <si>
    <t>Circled Daisy Flower</t>
  </si>
  <si>
    <t>Tear Drop</t>
  </si>
  <si>
    <t>Foot Patch</t>
  </si>
  <si>
    <t>Heart of Hearts</t>
  </si>
  <si>
    <t>Rising Flower</t>
  </si>
  <si>
    <t>Gold</t>
  </si>
  <si>
    <t>Shiny Flower</t>
  </si>
  <si>
    <t>Heart of Heart</t>
  </si>
  <si>
    <t>Rising of Flower</t>
  </si>
  <si>
    <t>White</t>
  </si>
  <si>
    <t>Circle Daisy</t>
  </si>
  <si>
    <t>yards</t>
  </si>
  <si>
    <t>Lemon</t>
  </si>
  <si>
    <t>Circled Daisy</t>
  </si>
  <si>
    <t>Dry All Over Flower</t>
  </si>
  <si>
    <t>Pink</t>
  </si>
  <si>
    <t>Twinkle Curve</t>
  </si>
  <si>
    <t>Rising of Flowers</t>
  </si>
  <si>
    <t>Red</t>
  </si>
  <si>
    <t>Dry All Over Laces</t>
  </si>
  <si>
    <t>Yellow</t>
  </si>
  <si>
    <t>Peach</t>
  </si>
  <si>
    <t>yards 8in</t>
  </si>
  <si>
    <t>Maroon</t>
  </si>
  <si>
    <t>Shiny All Over Flower</t>
  </si>
  <si>
    <t>White (unclear)</t>
  </si>
  <si>
    <t>Maroon with Purple</t>
  </si>
  <si>
    <t>Dry Lace</t>
  </si>
  <si>
    <t>Green</t>
  </si>
  <si>
    <t>Dry Laces</t>
  </si>
  <si>
    <t>Orange</t>
  </si>
  <si>
    <t>Grey</t>
  </si>
  <si>
    <t>Royal Blue</t>
  </si>
  <si>
    <t>(no items recorded)</t>
  </si>
  <si>
    <t>Wine Red</t>
  </si>
  <si>
    <t>Lilac</t>
  </si>
  <si>
    <t>Dry All Over Lace</t>
  </si>
  <si>
    <t>Hearts of Hearts</t>
  </si>
  <si>
    <t>Burgundy</t>
  </si>
  <si>
    <t>Shiny Laces</t>
  </si>
  <si>
    <t>Colour Subtotals (Bundles)</t>
  </si>
  <si>
    <t>Total Bundles</t>
  </si>
  <si>
    <t>GRAND TOTAL</t>
  </si>
  <si>
    <t>Notes: 'Approx (+)' = Yes means the original handwriting had a trailing '+' indicating the count may be incomplete/undercounted. 'Extra unit qty' captures quantities recorded in yards/inches rather than bundles (not included in the Bundles total). Source: handwritten stock sheets 2604_001.pdf and 2605_001.pdf.</t>
  </si>
  <si>
    <t>SKU</t>
  </si>
  <si>
    <t>Colour (blank on original)</t>
  </si>
  <si>
    <t>Quantity (Bundles)</t>
  </si>
  <si>
    <t>ECP3517</t>
  </si>
  <si>
    <t>2605_001 p1</t>
  </si>
  <si>
    <t>ECP3518</t>
  </si>
  <si>
    <t>ECP3519</t>
  </si>
  <si>
    <t>ECP3520</t>
  </si>
  <si>
    <t>ECP3521</t>
  </si>
  <si>
    <t>ECP3522</t>
  </si>
  <si>
    <t>ECP3523</t>
  </si>
  <si>
    <t>ECP3524</t>
  </si>
  <si>
    <t>ECP3525</t>
  </si>
  <si>
    <t>ECP3526</t>
  </si>
  <si>
    <t>ECP3527</t>
  </si>
  <si>
    <t>ECP3528</t>
  </si>
  <si>
    <t>ECP3529</t>
  </si>
  <si>
    <t>ECP3533</t>
  </si>
  <si>
    <t>TOTAL</t>
  </si>
  <si>
    <t>Note: the original table (2605_001.pdf, page 1) lists SKU and Quantity(Bundles) only; the Colours column was left blank on the handwritten sheet — fill in once confirmed. Original total shown on the sheet was 619, which matches the sum here.</t>
  </si>
  <si>
    <t xml:space="preserve">Bay 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</si>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</sst>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1" fillId="2" borderId="1" xfId="0" applyFont="1" applyFill="1" applyBorder="1"/>
    <xf numFmtId="0" fontId="5" fillId="0" borderId="1" xfId="0" applyFont="1" applyBorder="1"/>
    <xf numFmtId="0" fontId="2" fillId="3" borderId="1" xfId="0" applyFont="1" applyFill="1" applyBorder="1"/>
    <xf numFmtId="0" fontId="6" fillId="0" borderId="0" xfId="0" applyFont="1" applyAlignment="1">
      <alignment wrapText="1"/>
    </xf>
    <xf numFmtId="0" fontId="0" fillId="0" borderId="1" xfId="0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/>
    <xf numFmtId="0" fontId="0" fillId="0" borderId="0" xfId="0" applyNumberFormat="1" applyAlignment="1"/>
    <xf numFmtId="0" fontId="6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zoomScaleNormal="100" workbookViewId="0">
      <pane ySplit="1" topLeftCell="A41" activePane="bottomLeft" state="frozen"/>
      <selection pane="bottomLeft" activeCell="E56" sqref="E56"/>
    </sheetView>
  </sheetViews>
  <sheetFormatPr defaultColWidth="8.6640625" defaultRowHeight="14.4" x14ac:dyDescent="0.3"/>
  <cols>
    <col min="1" max="1" width="20" customWidth="1"/>
    <col min="2" max="2" width="24" customWidth="1"/>
    <col min="3" max="4" width="16" customWidth="1"/>
    <col min="5" max="5" width="14" customWidth="1"/>
    <col min="6" max="6" width="12" customWidth="1"/>
    <col min="7" max="7" width="11" style="13" customWidth="1"/>
    <col min="8" max="8" width="42" style="13" customWidth="1"/>
    <col min="9" max="9" width="16" style="13" customWidth="1"/>
  </cols>
  <sheetData>
    <row r="1" spans="1:9" ht="27.6" x14ac:dyDescent="0.3">
      <c r="A1" s="2" t="s">
        <v>0</v>
      </c>
      <c r="B1" s="2" t="s">
        <v>1</v>
      </c>
      <c r="C1" s="2" t="s">
        <v>2</v>
      </c>
      <c r="D1" s="2" t="s">
        <v>76</v>
      </c>
      <c r="E1" s="2" t="s">
        <v>3</v>
      </c>
      <c r="F1" s="2" t="s">
        <v>4</v>
      </c>
      <c r="G1" s="11"/>
      <c r="H1" s="11"/>
      <c r="I1" s="11"/>
    </row>
    <row r="2" spans="1:9" x14ac:dyDescent="0.3">
      <c r="A2" s="3" t="s">
        <v>6</v>
      </c>
      <c r="B2" s="4" t="s">
        <v>7</v>
      </c>
      <c r="C2" s="4">
        <v>8</v>
      </c>
      <c r="D2" s="4" t="s">
        <v>77</v>
      </c>
      <c r="E2" s="4"/>
      <c r="F2" s="4"/>
      <c r="G2" s="12"/>
      <c r="H2" s="12"/>
      <c r="I2" s="12"/>
    </row>
    <row r="3" spans="1:9" x14ac:dyDescent="0.3">
      <c r="A3" s="3" t="s">
        <v>6</v>
      </c>
      <c r="B3" s="4" t="s">
        <v>8</v>
      </c>
      <c r="C3" s="4">
        <v>10</v>
      </c>
      <c r="D3" s="4" t="s">
        <v>77</v>
      </c>
      <c r="E3" s="4"/>
      <c r="F3" s="4"/>
      <c r="G3" s="12"/>
      <c r="H3" s="12"/>
      <c r="I3" s="12"/>
    </row>
    <row r="4" spans="1:9" x14ac:dyDescent="0.3">
      <c r="A4" s="3" t="s">
        <v>6</v>
      </c>
      <c r="B4" s="4" t="s">
        <v>9</v>
      </c>
      <c r="C4" s="4">
        <v>5</v>
      </c>
      <c r="D4" s="4" t="s">
        <v>77</v>
      </c>
      <c r="E4" s="4"/>
      <c r="F4" s="4"/>
      <c r="G4" s="12"/>
      <c r="H4" s="12"/>
      <c r="I4" s="12"/>
    </row>
    <row r="5" spans="1:9" x14ac:dyDescent="0.3">
      <c r="A5" s="3" t="s">
        <v>10</v>
      </c>
      <c r="B5" s="4" t="s">
        <v>11</v>
      </c>
      <c r="C5" s="4">
        <v>8</v>
      </c>
      <c r="D5" s="4" t="s">
        <v>77</v>
      </c>
      <c r="E5" s="4"/>
      <c r="F5" s="4"/>
      <c r="G5" s="12"/>
      <c r="H5" s="12"/>
      <c r="I5" s="12"/>
    </row>
    <row r="6" spans="1:9" x14ac:dyDescent="0.3">
      <c r="A6" s="3" t="s">
        <v>10</v>
      </c>
      <c r="B6" s="4" t="s">
        <v>12</v>
      </c>
      <c r="C6" s="4">
        <v>8</v>
      </c>
      <c r="D6" s="4" t="s">
        <v>77</v>
      </c>
      <c r="E6" s="4"/>
      <c r="F6" s="4"/>
      <c r="G6" s="12"/>
      <c r="H6" s="12"/>
      <c r="I6" s="12"/>
    </row>
    <row r="7" spans="1:9" x14ac:dyDescent="0.3">
      <c r="A7" s="3" t="s">
        <v>10</v>
      </c>
      <c r="B7" s="4" t="s">
        <v>13</v>
      </c>
      <c r="C7" s="4">
        <v>5</v>
      </c>
      <c r="D7" s="4" t="s">
        <v>77</v>
      </c>
      <c r="E7" s="4"/>
      <c r="F7" s="4"/>
      <c r="G7" s="12"/>
      <c r="H7" s="12"/>
      <c r="I7" s="12"/>
    </row>
    <row r="8" spans="1:9" x14ac:dyDescent="0.3">
      <c r="A8" s="3" t="s">
        <v>10</v>
      </c>
      <c r="B8" s="4" t="s">
        <v>14</v>
      </c>
      <c r="C8" s="4">
        <v>7</v>
      </c>
      <c r="D8" s="4" t="s">
        <v>77</v>
      </c>
      <c r="E8" s="4"/>
      <c r="F8" s="4"/>
      <c r="G8" s="12"/>
      <c r="H8" s="12"/>
      <c r="I8" s="12"/>
    </row>
    <row r="9" spans="1:9" x14ac:dyDescent="0.3">
      <c r="A9" s="3" t="s">
        <v>10</v>
      </c>
      <c r="B9" s="4" t="s">
        <v>15</v>
      </c>
      <c r="C9" s="4">
        <v>8</v>
      </c>
      <c r="D9" s="4" t="s">
        <v>77</v>
      </c>
      <c r="E9" s="4"/>
      <c r="F9" s="4"/>
      <c r="G9" s="12"/>
      <c r="H9" s="12"/>
      <c r="I9" s="12"/>
    </row>
    <row r="10" spans="1:9" x14ac:dyDescent="0.3">
      <c r="A10" s="3" t="s">
        <v>10</v>
      </c>
      <c r="B10" s="4" t="s">
        <v>16</v>
      </c>
      <c r="C10" s="4">
        <v>2</v>
      </c>
      <c r="D10" s="4" t="s">
        <v>77</v>
      </c>
      <c r="E10" s="4"/>
      <c r="F10" s="4"/>
      <c r="G10" s="12"/>
      <c r="H10" s="12"/>
      <c r="I10" s="12"/>
    </row>
    <row r="11" spans="1:9" x14ac:dyDescent="0.3">
      <c r="A11" s="3" t="s">
        <v>17</v>
      </c>
      <c r="B11" s="4" t="s">
        <v>18</v>
      </c>
      <c r="C11" s="4">
        <v>16</v>
      </c>
      <c r="D11" s="4" t="s">
        <v>77</v>
      </c>
      <c r="E11" s="4"/>
      <c r="F11" s="4"/>
      <c r="G11" s="12"/>
      <c r="H11" s="12"/>
      <c r="I11" s="12"/>
    </row>
    <row r="12" spans="1:9" x14ac:dyDescent="0.3">
      <c r="A12" s="3" t="s">
        <v>17</v>
      </c>
      <c r="B12" s="4" t="s">
        <v>14</v>
      </c>
      <c r="C12" s="4">
        <v>9</v>
      </c>
      <c r="D12" s="4" t="s">
        <v>77</v>
      </c>
      <c r="E12" s="4"/>
      <c r="F12" s="4"/>
      <c r="G12" s="12"/>
      <c r="H12" s="12"/>
      <c r="I12" s="12"/>
    </row>
    <row r="13" spans="1:9" x14ac:dyDescent="0.3">
      <c r="A13" s="3" t="s">
        <v>17</v>
      </c>
      <c r="B13" s="4" t="s">
        <v>19</v>
      </c>
      <c r="C13" s="4">
        <v>16</v>
      </c>
      <c r="D13" s="4" t="s">
        <v>77</v>
      </c>
      <c r="E13" s="4"/>
      <c r="F13" s="4"/>
      <c r="G13" s="12"/>
      <c r="H13" s="12"/>
      <c r="I13" s="12"/>
    </row>
    <row r="14" spans="1:9" x14ac:dyDescent="0.3">
      <c r="A14" s="3" t="s">
        <v>17</v>
      </c>
      <c r="B14" s="4" t="s">
        <v>9</v>
      </c>
      <c r="C14" s="4">
        <v>9</v>
      </c>
      <c r="D14" s="4" t="s">
        <v>77</v>
      </c>
      <c r="E14" s="4"/>
      <c r="F14" s="4"/>
      <c r="G14" s="12"/>
      <c r="H14" s="12"/>
      <c r="I14" s="12"/>
    </row>
    <row r="15" spans="1:9" x14ac:dyDescent="0.3">
      <c r="A15" s="3" t="s">
        <v>17</v>
      </c>
      <c r="B15" s="4" t="s">
        <v>20</v>
      </c>
      <c r="C15" s="4">
        <v>1</v>
      </c>
      <c r="D15" s="4" t="s">
        <v>77</v>
      </c>
      <c r="E15" s="4"/>
      <c r="F15" s="4"/>
      <c r="G15" s="12"/>
      <c r="H15" s="12"/>
      <c r="I15" s="12"/>
    </row>
    <row r="16" spans="1:9" x14ac:dyDescent="0.3">
      <c r="A16" s="3" t="s">
        <v>21</v>
      </c>
      <c r="B16" s="4" t="s">
        <v>11</v>
      </c>
      <c r="C16" s="4">
        <v>8</v>
      </c>
      <c r="D16" s="4" t="s">
        <v>77</v>
      </c>
      <c r="E16" s="4"/>
      <c r="F16" s="4"/>
      <c r="G16" s="12"/>
      <c r="H16" s="12"/>
      <c r="I16" s="12"/>
    </row>
    <row r="17" spans="1:9" x14ac:dyDescent="0.3">
      <c r="A17" s="3" t="s">
        <v>21</v>
      </c>
      <c r="B17" s="4" t="s">
        <v>22</v>
      </c>
      <c r="C17" s="4">
        <v>9</v>
      </c>
      <c r="D17" s="4" t="s">
        <v>77</v>
      </c>
      <c r="E17" s="4"/>
      <c r="F17" s="4"/>
      <c r="G17" s="12"/>
      <c r="H17" s="12"/>
      <c r="I17" s="12"/>
    </row>
    <row r="18" spans="1:9" x14ac:dyDescent="0.3">
      <c r="A18" s="3" t="s">
        <v>21</v>
      </c>
      <c r="B18" s="4" t="s">
        <v>15</v>
      </c>
      <c r="C18" s="4">
        <v>8</v>
      </c>
      <c r="D18" s="4" t="s">
        <v>77</v>
      </c>
      <c r="E18" s="4"/>
      <c r="F18" s="4"/>
      <c r="G18" s="12"/>
      <c r="H18" s="12"/>
      <c r="I18" s="12"/>
    </row>
    <row r="19" spans="1:9" x14ac:dyDescent="0.3">
      <c r="A19" s="3" t="s">
        <v>21</v>
      </c>
      <c r="B19" s="4" t="s">
        <v>14</v>
      </c>
      <c r="C19" s="4">
        <v>6</v>
      </c>
      <c r="D19" s="4" t="s">
        <v>77</v>
      </c>
      <c r="E19" s="4"/>
      <c r="F19" s="4"/>
      <c r="G19" s="12"/>
      <c r="H19" s="12"/>
      <c r="I19" s="12"/>
    </row>
    <row r="20" spans="1:9" x14ac:dyDescent="0.3">
      <c r="A20" s="3" t="s">
        <v>21</v>
      </c>
      <c r="B20" s="4" t="s">
        <v>13</v>
      </c>
      <c r="C20" s="4"/>
      <c r="D20" s="4" t="s">
        <v>77</v>
      </c>
      <c r="E20" s="4">
        <v>10</v>
      </c>
      <c r="F20" s="4" t="s">
        <v>23</v>
      </c>
      <c r="G20" s="12"/>
      <c r="H20" s="12"/>
      <c r="I20" s="12"/>
    </row>
    <row r="21" spans="1:9" x14ac:dyDescent="0.3">
      <c r="A21" s="3" t="s">
        <v>24</v>
      </c>
      <c r="B21" s="4" t="s">
        <v>13</v>
      </c>
      <c r="C21" s="4">
        <v>9</v>
      </c>
      <c r="D21" s="4" t="s">
        <v>77</v>
      </c>
      <c r="E21" s="4"/>
      <c r="F21" s="4"/>
      <c r="G21" s="12"/>
      <c r="H21" s="12"/>
      <c r="I21" s="12"/>
    </row>
    <row r="22" spans="1:9" x14ac:dyDescent="0.3">
      <c r="A22" s="3" t="s">
        <v>24</v>
      </c>
      <c r="B22" s="4" t="s">
        <v>25</v>
      </c>
      <c r="C22" s="4">
        <v>9</v>
      </c>
      <c r="D22" s="4" t="s">
        <v>77</v>
      </c>
      <c r="E22" s="4"/>
      <c r="F22" s="4"/>
      <c r="G22" s="12"/>
      <c r="H22" s="12"/>
      <c r="I22" s="12"/>
    </row>
    <row r="23" spans="1:9" x14ac:dyDescent="0.3">
      <c r="A23" s="3" t="s">
        <v>24</v>
      </c>
      <c r="B23" s="4" t="s">
        <v>26</v>
      </c>
      <c r="C23" s="4">
        <v>1</v>
      </c>
      <c r="D23" s="4" t="s">
        <v>77</v>
      </c>
      <c r="E23" s="4"/>
      <c r="F23" s="4"/>
      <c r="G23" s="12"/>
      <c r="H23" s="12"/>
      <c r="I23" s="12"/>
    </row>
    <row r="24" spans="1:9" x14ac:dyDescent="0.3">
      <c r="A24" s="3" t="s">
        <v>27</v>
      </c>
      <c r="B24" s="4" t="s">
        <v>14</v>
      </c>
      <c r="C24" s="4">
        <v>9</v>
      </c>
      <c r="D24" s="4" t="s">
        <v>77</v>
      </c>
      <c r="E24" s="4"/>
      <c r="F24" s="4"/>
      <c r="G24" s="12"/>
      <c r="H24" s="12"/>
      <c r="I24" s="12"/>
    </row>
    <row r="25" spans="1:9" x14ac:dyDescent="0.3">
      <c r="A25" s="3" t="s">
        <v>27</v>
      </c>
      <c r="B25" s="4" t="s">
        <v>19</v>
      </c>
      <c r="C25" s="4">
        <v>3</v>
      </c>
      <c r="D25" s="4" t="s">
        <v>77</v>
      </c>
      <c r="E25" s="4">
        <v>14</v>
      </c>
      <c r="F25" s="4" t="s">
        <v>23</v>
      </c>
      <c r="G25" s="12"/>
      <c r="H25" s="12"/>
      <c r="I25" s="12"/>
    </row>
    <row r="26" spans="1:9" x14ac:dyDescent="0.3">
      <c r="A26" s="3" t="s">
        <v>27</v>
      </c>
      <c r="B26" s="4" t="s">
        <v>28</v>
      </c>
      <c r="C26" s="4">
        <v>8</v>
      </c>
      <c r="D26" s="4" t="s">
        <v>77</v>
      </c>
      <c r="E26" s="4"/>
      <c r="F26" s="4"/>
      <c r="G26" s="12"/>
      <c r="H26" s="12"/>
      <c r="I26" s="12"/>
    </row>
    <row r="27" spans="1:9" x14ac:dyDescent="0.3">
      <c r="A27" s="3" t="s">
        <v>27</v>
      </c>
      <c r="B27" s="4" t="s">
        <v>29</v>
      </c>
      <c r="C27" s="4">
        <v>4</v>
      </c>
      <c r="D27" s="4" t="s">
        <v>77</v>
      </c>
      <c r="E27" s="4"/>
      <c r="F27" s="4"/>
      <c r="G27" s="12"/>
      <c r="H27" s="12"/>
      <c r="I27" s="12"/>
    </row>
    <row r="28" spans="1:9" x14ac:dyDescent="0.3">
      <c r="A28" s="3" t="s">
        <v>30</v>
      </c>
      <c r="B28" s="4" t="s">
        <v>31</v>
      </c>
      <c r="C28" s="4">
        <v>18</v>
      </c>
      <c r="D28" s="4" t="s">
        <v>77</v>
      </c>
      <c r="E28" s="4"/>
      <c r="F28" s="4"/>
      <c r="G28" s="12"/>
      <c r="H28" s="12"/>
      <c r="I28" s="12"/>
    </row>
    <row r="29" spans="1:9" x14ac:dyDescent="0.3">
      <c r="A29" s="3" t="s">
        <v>32</v>
      </c>
      <c r="B29" s="4" t="s">
        <v>11</v>
      </c>
      <c r="C29" s="4">
        <v>7</v>
      </c>
      <c r="D29" s="4" t="s">
        <v>77</v>
      </c>
      <c r="E29" s="4"/>
      <c r="F29" s="4"/>
      <c r="G29" s="12"/>
      <c r="H29" s="12"/>
      <c r="I29" s="12"/>
    </row>
    <row r="30" spans="1:9" x14ac:dyDescent="0.3">
      <c r="A30" s="3" t="s">
        <v>32</v>
      </c>
      <c r="B30" s="4" t="s">
        <v>25</v>
      </c>
      <c r="C30" s="4">
        <v>8</v>
      </c>
      <c r="D30" s="4" t="s">
        <v>77</v>
      </c>
      <c r="E30" s="4"/>
      <c r="F30" s="4"/>
      <c r="G30" s="12"/>
      <c r="H30" s="12"/>
      <c r="I30" s="12"/>
    </row>
    <row r="31" spans="1:9" x14ac:dyDescent="0.3">
      <c r="A31" s="3" t="s">
        <v>32</v>
      </c>
      <c r="B31" s="4" t="s">
        <v>13</v>
      </c>
      <c r="C31" s="4"/>
      <c r="D31" s="4" t="s">
        <v>77</v>
      </c>
      <c r="E31" s="4">
        <v>12</v>
      </c>
      <c r="F31" s="4" t="s">
        <v>23</v>
      </c>
      <c r="G31" s="12"/>
      <c r="H31" s="12"/>
      <c r="I31" s="12"/>
    </row>
    <row r="32" spans="1:9" x14ac:dyDescent="0.3">
      <c r="A32" s="3" t="s">
        <v>33</v>
      </c>
      <c r="B32" s="4" t="s">
        <v>9</v>
      </c>
      <c r="C32" s="4">
        <v>5</v>
      </c>
      <c r="D32" s="4" t="s">
        <v>77</v>
      </c>
      <c r="E32" s="4"/>
      <c r="F32" s="4"/>
      <c r="G32" s="12"/>
      <c r="H32" s="12"/>
      <c r="I32" s="12"/>
    </row>
    <row r="33" spans="1:9" x14ac:dyDescent="0.3">
      <c r="A33" s="3" t="s">
        <v>33</v>
      </c>
      <c r="B33" s="4" t="s">
        <v>8</v>
      </c>
      <c r="C33" s="4"/>
      <c r="D33" s="4" t="s">
        <v>77</v>
      </c>
      <c r="E33" s="4">
        <v>14</v>
      </c>
      <c r="F33" s="4" t="s">
        <v>34</v>
      </c>
      <c r="G33" s="12"/>
      <c r="H33" s="12"/>
      <c r="I33" s="12"/>
    </row>
    <row r="34" spans="1:9" x14ac:dyDescent="0.3">
      <c r="A34" s="3" t="s">
        <v>35</v>
      </c>
      <c r="B34" s="4" t="s">
        <v>36</v>
      </c>
      <c r="C34" s="4">
        <v>3</v>
      </c>
      <c r="D34" s="4" t="s">
        <v>77</v>
      </c>
      <c r="E34" s="4"/>
      <c r="F34" s="4"/>
      <c r="G34" s="12"/>
      <c r="H34" s="12"/>
      <c r="I34" s="12"/>
    </row>
    <row r="35" spans="1:9" x14ac:dyDescent="0.3">
      <c r="A35" s="3" t="s">
        <v>37</v>
      </c>
      <c r="B35" s="4" t="s">
        <v>26</v>
      </c>
      <c r="C35" s="4">
        <v>8</v>
      </c>
      <c r="D35" s="4" t="s">
        <v>77</v>
      </c>
      <c r="E35" s="4"/>
      <c r="F35" s="4"/>
      <c r="G35" s="12"/>
      <c r="H35" s="12"/>
      <c r="I35" s="12"/>
    </row>
    <row r="36" spans="1:9" x14ac:dyDescent="0.3">
      <c r="A36" s="3" t="s">
        <v>17</v>
      </c>
      <c r="B36" s="4" t="s">
        <v>7</v>
      </c>
      <c r="C36" s="4">
        <v>8</v>
      </c>
      <c r="D36" s="4" t="s">
        <v>77</v>
      </c>
      <c r="E36" s="4"/>
      <c r="F36" s="4"/>
      <c r="G36" s="12"/>
      <c r="H36" s="12"/>
      <c r="I36" s="12"/>
    </row>
    <row r="37" spans="1:9" x14ac:dyDescent="0.3">
      <c r="A37" s="3" t="s">
        <v>38</v>
      </c>
      <c r="B37" s="4" t="s">
        <v>39</v>
      </c>
      <c r="C37" s="4">
        <v>7</v>
      </c>
      <c r="D37" s="4" t="s">
        <v>77</v>
      </c>
      <c r="E37" s="4"/>
      <c r="F37" s="4"/>
      <c r="G37" s="12"/>
      <c r="H37" s="12"/>
      <c r="I37" s="12"/>
    </row>
    <row r="38" spans="1:9" x14ac:dyDescent="0.3">
      <c r="A38" s="3" t="s">
        <v>40</v>
      </c>
      <c r="B38" s="4" t="s">
        <v>41</v>
      </c>
      <c r="C38" s="4">
        <v>9</v>
      </c>
      <c r="D38" s="4" t="s">
        <v>77</v>
      </c>
      <c r="E38" s="4"/>
      <c r="F38" s="4"/>
      <c r="G38" s="12"/>
      <c r="H38" s="12"/>
      <c r="I38" s="12"/>
    </row>
    <row r="39" spans="1:9" x14ac:dyDescent="0.3">
      <c r="A39" s="3" t="s">
        <v>40</v>
      </c>
      <c r="B39" s="4" t="s">
        <v>14</v>
      </c>
      <c r="C39" s="4">
        <v>7</v>
      </c>
      <c r="D39" s="4" t="s">
        <v>77</v>
      </c>
      <c r="E39" s="4">
        <v>8</v>
      </c>
      <c r="F39" s="4" t="s">
        <v>23</v>
      </c>
      <c r="G39" s="12"/>
      <c r="H39" s="12"/>
      <c r="I39" s="12"/>
    </row>
    <row r="40" spans="1:9" x14ac:dyDescent="0.3">
      <c r="A40" s="3" t="s">
        <v>40</v>
      </c>
      <c r="B40" s="4" t="s">
        <v>8</v>
      </c>
      <c r="C40" s="4">
        <v>7</v>
      </c>
      <c r="D40" s="4" t="s">
        <v>77</v>
      </c>
      <c r="E40" s="4"/>
      <c r="F40" s="4"/>
      <c r="G40" s="12"/>
      <c r="H40" s="12"/>
      <c r="I40" s="12"/>
    </row>
    <row r="41" spans="1:9" x14ac:dyDescent="0.3">
      <c r="A41" s="3" t="s">
        <v>40</v>
      </c>
      <c r="B41" s="4" t="s">
        <v>9</v>
      </c>
      <c r="C41" s="4">
        <v>8</v>
      </c>
      <c r="D41" s="4" t="s">
        <v>77</v>
      </c>
      <c r="E41" s="4"/>
      <c r="F41" s="4"/>
      <c r="G41" s="12"/>
      <c r="H41" s="12"/>
      <c r="I41" s="12"/>
    </row>
    <row r="42" spans="1:9" x14ac:dyDescent="0.3">
      <c r="A42" s="3" t="s">
        <v>42</v>
      </c>
      <c r="B42" s="4" t="s">
        <v>11</v>
      </c>
      <c r="C42" s="4">
        <v>8</v>
      </c>
      <c r="D42" s="4" t="s">
        <v>77</v>
      </c>
      <c r="E42" s="4"/>
      <c r="F42" s="4"/>
      <c r="G42" s="12"/>
      <c r="H42" s="12"/>
      <c r="I42" s="12"/>
    </row>
    <row r="43" spans="1:9" x14ac:dyDescent="0.3">
      <c r="A43" s="3" t="s">
        <v>42</v>
      </c>
      <c r="B43" s="4" t="s">
        <v>25</v>
      </c>
      <c r="C43" s="4">
        <v>9</v>
      </c>
      <c r="D43" s="4" t="s">
        <v>77</v>
      </c>
      <c r="E43" s="4"/>
      <c r="F43" s="4"/>
      <c r="G43" s="12"/>
      <c r="H43" s="12"/>
      <c r="I43" s="12"/>
    </row>
    <row r="44" spans="1:9" x14ac:dyDescent="0.3">
      <c r="A44" s="3" t="s">
        <v>42</v>
      </c>
      <c r="B44" s="4" t="s">
        <v>13</v>
      </c>
      <c r="C44" s="4">
        <v>1</v>
      </c>
      <c r="D44" s="4" t="s">
        <v>77</v>
      </c>
      <c r="E44" s="4"/>
      <c r="F44" s="4"/>
      <c r="G44" s="12"/>
      <c r="H44" s="12"/>
      <c r="I44" s="12"/>
    </row>
    <row r="45" spans="1:9" x14ac:dyDescent="0.3">
      <c r="A45" s="3" t="s">
        <v>43</v>
      </c>
      <c r="B45" s="4" t="s">
        <v>7</v>
      </c>
      <c r="C45" s="4">
        <v>9</v>
      </c>
      <c r="D45" s="4" t="s">
        <v>77</v>
      </c>
      <c r="E45" s="4"/>
      <c r="F45" s="4"/>
      <c r="G45" s="12"/>
      <c r="H45" s="12"/>
      <c r="I45" s="12"/>
    </row>
    <row r="46" spans="1:9" x14ac:dyDescent="0.3">
      <c r="A46" s="3" t="s">
        <v>43</v>
      </c>
      <c r="B46" s="4" t="s">
        <v>8</v>
      </c>
      <c r="C46" s="4">
        <v>7</v>
      </c>
      <c r="D46" s="4" t="s">
        <v>77</v>
      </c>
      <c r="E46" s="4"/>
      <c r="F46" s="4"/>
      <c r="G46" s="12"/>
      <c r="H46" s="12"/>
      <c r="I46" s="12"/>
    </row>
    <row r="47" spans="1:9" x14ac:dyDescent="0.3">
      <c r="A47" s="3" t="s">
        <v>43</v>
      </c>
      <c r="B47" s="4" t="s">
        <v>9</v>
      </c>
      <c r="C47" s="4">
        <v>8</v>
      </c>
      <c r="D47" s="4" t="s">
        <v>77</v>
      </c>
      <c r="E47" s="4"/>
      <c r="F47" s="4"/>
      <c r="G47" s="12"/>
      <c r="H47" s="12"/>
      <c r="I47" s="12"/>
    </row>
    <row r="48" spans="1:9" x14ac:dyDescent="0.3">
      <c r="A48" s="3" t="s">
        <v>44</v>
      </c>
      <c r="B48" s="4" t="s">
        <v>45</v>
      </c>
      <c r="C48" s="4"/>
      <c r="D48" s="4" t="s">
        <v>77</v>
      </c>
      <c r="E48" s="4"/>
      <c r="F48" s="4"/>
      <c r="G48" s="12"/>
      <c r="H48" s="12"/>
      <c r="I48" s="12"/>
    </row>
    <row r="49" spans="1:9" x14ac:dyDescent="0.3">
      <c r="A49" s="3" t="s">
        <v>46</v>
      </c>
      <c r="B49" s="4" t="s">
        <v>15</v>
      </c>
      <c r="C49" s="4">
        <v>8</v>
      </c>
      <c r="D49" s="4" t="s">
        <v>77</v>
      </c>
      <c r="E49" s="4"/>
      <c r="F49" s="4"/>
      <c r="G49" s="12"/>
      <c r="H49" s="12"/>
      <c r="I49" s="12"/>
    </row>
    <row r="50" spans="1:9" x14ac:dyDescent="0.3">
      <c r="A50" s="3" t="s">
        <v>47</v>
      </c>
      <c r="B50" s="4" t="s">
        <v>13</v>
      </c>
      <c r="C50" s="4">
        <v>9</v>
      </c>
      <c r="D50" s="4" t="s">
        <v>77</v>
      </c>
      <c r="E50" s="4"/>
      <c r="F50" s="4"/>
      <c r="G50" s="12"/>
      <c r="H50" s="12"/>
      <c r="I50" s="12"/>
    </row>
    <row r="51" spans="1:9" x14ac:dyDescent="0.3">
      <c r="A51" s="3" t="s">
        <v>47</v>
      </c>
      <c r="B51" s="4" t="s">
        <v>48</v>
      </c>
      <c r="C51" s="4">
        <v>16</v>
      </c>
      <c r="D51" s="4" t="s">
        <v>77</v>
      </c>
      <c r="E51" s="4"/>
      <c r="F51" s="4"/>
      <c r="G51" s="12"/>
      <c r="H51" s="12"/>
      <c r="I51" s="12"/>
    </row>
    <row r="52" spans="1:9" x14ac:dyDescent="0.3">
      <c r="A52" s="3" t="s">
        <v>47</v>
      </c>
      <c r="B52" s="4" t="s">
        <v>14</v>
      </c>
      <c r="C52" s="4">
        <v>4</v>
      </c>
      <c r="D52" s="4" t="s">
        <v>77</v>
      </c>
      <c r="E52" s="4"/>
      <c r="F52" s="4"/>
      <c r="G52" s="12"/>
      <c r="H52" s="12"/>
      <c r="I52" s="12"/>
    </row>
    <row r="53" spans="1:9" x14ac:dyDescent="0.3">
      <c r="A53" s="3" t="s">
        <v>47</v>
      </c>
      <c r="B53" s="4" t="s">
        <v>36</v>
      </c>
      <c r="C53" s="4">
        <v>6</v>
      </c>
      <c r="D53" s="4" t="s">
        <v>77</v>
      </c>
      <c r="E53" s="4"/>
      <c r="F53" s="4"/>
      <c r="G53" s="12"/>
      <c r="H53" s="12"/>
      <c r="I53" s="12"/>
    </row>
    <row r="54" spans="1:9" x14ac:dyDescent="0.3">
      <c r="A54" s="3" t="s">
        <v>47</v>
      </c>
      <c r="B54" s="4" t="s">
        <v>8</v>
      </c>
      <c r="C54" s="4">
        <v>2</v>
      </c>
      <c r="D54" s="4" t="s">
        <v>77</v>
      </c>
      <c r="E54" s="4"/>
      <c r="F54" s="4"/>
      <c r="G54" s="12"/>
      <c r="H54" s="12"/>
      <c r="I54" s="12"/>
    </row>
    <row r="55" spans="1:9" x14ac:dyDescent="0.3">
      <c r="A55" s="3" t="s">
        <v>47</v>
      </c>
      <c r="B55" s="4" t="s">
        <v>49</v>
      </c>
      <c r="C55" s="4">
        <v>8</v>
      </c>
      <c r="D55" s="4" t="s">
        <v>77</v>
      </c>
      <c r="E55" s="4"/>
      <c r="F55" s="4"/>
      <c r="G55" s="12"/>
      <c r="H55" s="12"/>
      <c r="I55" s="12"/>
    </row>
    <row r="56" spans="1:9" x14ac:dyDescent="0.3">
      <c r="A56" s="3" t="s">
        <v>47</v>
      </c>
      <c r="B56" s="4" t="s">
        <v>25</v>
      </c>
      <c r="C56" s="4">
        <v>9</v>
      </c>
      <c r="D56" s="4" t="s">
        <v>77</v>
      </c>
      <c r="E56" s="4"/>
      <c r="F56" s="4"/>
      <c r="G56" s="12"/>
      <c r="H56" s="12"/>
      <c r="I56" s="12"/>
    </row>
    <row r="57" spans="1:9" x14ac:dyDescent="0.3">
      <c r="A57" s="3" t="s">
        <v>50</v>
      </c>
      <c r="B57" s="4" t="s">
        <v>51</v>
      </c>
      <c r="C57" s="4">
        <v>8</v>
      </c>
      <c r="D57" s="4" t="s">
        <v>77</v>
      </c>
      <c r="E57" s="4"/>
      <c r="F57" s="4"/>
      <c r="G57" s="12"/>
      <c r="H57" s="12"/>
      <c r="I57" s="12"/>
    </row>
    <row r="58" spans="1:9" x14ac:dyDescent="0.3">
      <c r="A58" s="3" t="s">
        <v>50</v>
      </c>
      <c r="B58" s="4" t="s">
        <v>14</v>
      </c>
      <c r="C58" s="4">
        <v>5</v>
      </c>
      <c r="D58" s="4" t="s">
        <v>77</v>
      </c>
      <c r="E58" s="4"/>
      <c r="F58" s="4"/>
      <c r="G58" s="12"/>
      <c r="H58" s="12"/>
      <c r="I58" s="12"/>
    </row>
    <row r="59" spans="1:9" x14ac:dyDescent="0.3">
      <c r="A59" s="3" t="s">
        <v>50</v>
      </c>
      <c r="B59" s="4" t="s">
        <v>8</v>
      </c>
      <c r="C59" s="4">
        <v>7</v>
      </c>
      <c r="D59" s="4" t="s">
        <v>77</v>
      </c>
      <c r="E59" s="4"/>
      <c r="F59" s="4"/>
      <c r="G59" s="12"/>
      <c r="H59" s="12"/>
      <c r="I59" s="12"/>
    </row>
    <row r="60" spans="1:9" x14ac:dyDescent="0.3">
      <c r="A60" s="3" t="s">
        <v>50</v>
      </c>
      <c r="B60" s="4" t="s">
        <v>9</v>
      </c>
      <c r="C60" s="4">
        <v>9</v>
      </c>
      <c r="D60" s="4" t="s">
        <v>77</v>
      </c>
      <c r="E60" s="4"/>
      <c r="F60" s="4"/>
      <c r="G60" s="12"/>
      <c r="H60" s="12"/>
      <c r="I60" s="12"/>
    </row>
    <row r="63" spans="1:9" ht="15.6" x14ac:dyDescent="0.3">
      <c r="A63" s="5" t="s">
        <v>52</v>
      </c>
    </row>
    <row r="64" spans="1:9" x14ac:dyDescent="0.3">
      <c r="A64" s="6" t="s">
        <v>0</v>
      </c>
      <c r="B64" s="6" t="s">
        <v>53</v>
      </c>
    </row>
    <row r="65" spans="1:2" x14ac:dyDescent="0.3">
      <c r="A65" s="7" t="s">
        <v>6</v>
      </c>
      <c r="B65" s="4">
        <f t="shared" ref="B65:B83" si="0">SUMIF($A$2:$A$60,A65,$C$2:$C$60)</f>
        <v>23</v>
      </c>
    </row>
    <row r="66" spans="1:2" x14ac:dyDescent="0.3">
      <c r="A66" s="7" t="s">
        <v>10</v>
      </c>
      <c r="B66" s="4">
        <f t="shared" si="0"/>
        <v>38</v>
      </c>
    </row>
    <row r="67" spans="1:2" x14ac:dyDescent="0.3">
      <c r="A67" s="7" t="s">
        <v>17</v>
      </c>
      <c r="B67" s="4">
        <f t="shared" si="0"/>
        <v>59</v>
      </c>
    </row>
    <row r="68" spans="1:2" x14ac:dyDescent="0.3">
      <c r="A68" s="7" t="s">
        <v>21</v>
      </c>
      <c r="B68" s="4">
        <f t="shared" si="0"/>
        <v>31</v>
      </c>
    </row>
    <row r="69" spans="1:2" x14ac:dyDescent="0.3">
      <c r="A69" s="7" t="s">
        <v>24</v>
      </c>
      <c r="B69" s="4">
        <f t="shared" si="0"/>
        <v>19</v>
      </c>
    </row>
    <row r="70" spans="1:2" x14ac:dyDescent="0.3">
      <c r="A70" s="7" t="s">
        <v>27</v>
      </c>
      <c r="B70" s="4">
        <f t="shared" si="0"/>
        <v>24</v>
      </c>
    </row>
    <row r="71" spans="1:2" x14ac:dyDescent="0.3">
      <c r="A71" s="7" t="s">
        <v>30</v>
      </c>
      <c r="B71" s="4">
        <f t="shared" si="0"/>
        <v>18</v>
      </c>
    </row>
    <row r="72" spans="1:2" x14ac:dyDescent="0.3">
      <c r="A72" s="7" t="s">
        <v>32</v>
      </c>
      <c r="B72" s="4">
        <f t="shared" si="0"/>
        <v>15</v>
      </c>
    </row>
    <row r="73" spans="1:2" x14ac:dyDescent="0.3">
      <c r="A73" s="7" t="s">
        <v>33</v>
      </c>
      <c r="B73" s="4">
        <f t="shared" si="0"/>
        <v>5</v>
      </c>
    </row>
    <row r="74" spans="1:2" x14ac:dyDescent="0.3">
      <c r="A74" s="7" t="s">
        <v>35</v>
      </c>
      <c r="B74" s="4">
        <f t="shared" si="0"/>
        <v>3</v>
      </c>
    </row>
    <row r="75" spans="1:2" x14ac:dyDescent="0.3">
      <c r="A75" s="7" t="s">
        <v>37</v>
      </c>
      <c r="B75" s="4">
        <f t="shared" si="0"/>
        <v>8</v>
      </c>
    </row>
    <row r="76" spans="1:2" x14ac:dyDescent="0.3">
      <c r="A76" s="7" t="s">
        <v>38</v>
      </c>
      <c r="B76" s="4">
        <f t="shared" si="0"/>
        <v>7</v>
      </c>
    </row>
    <row r="77" spans="1:2" x14ac:dyDescent="0.3">
      <c r="A77" s="7" t="s">
        <v>40</v>
      </c>
      <c r="B77" s="4">
        <f t="shared" si="0"/>
        <v>31</v>
      </c>
    </row>
    <row r="78" spans="1:2" x14ac:dyDescent="0.3">
      <c r="A78" s="7" t="s">
        <v>42</v>
      </c>
      <c r="B78" s="4">
        <f t="shared" si="0"/>
        <v>18</v>
      </c>
    </row>
    <row r="79" spans="1:2" x14ac:dyDescent="0.3">
      <c r="A79" s="7" t="s">
        <v>43</v>
      </c>
      <c r="B79" s="4">
        <f t="shared" si="0"/>
        <v>24</v>
      </c>
    </row>
    <row r="80" spans="1:2" x14ac:dyDescent="0.3">
      <c r="A80" s="7" t="s">
        <v>44</v>
      </c>
      <c r="B80" s="4">
        <f t="shared" si="0"/>
        <v>0</v>
      </c>
    </row>
    <row r="81" spans="1:9" x14ac:dyDescent="0.3">
      <c r="A81" s="7" t="s">
        <v>46</v>
      </c>
      <c r="B81" s="4">
        <f t="shared" si="0"/>
        <v>8</v>
      </c>
    </row>
    <row r="82" spans="1:9" x14ac:dyDescent="0.3">
      <c r="A82" s="7" t="s">
        <v>47</v>
      </c>
      <c r="B82" s="4">
        <f t="shared" si="0"/>
        <v>54</v>
      </c>
    </row>
    <row r="83" spans="1:9" x14ac:dyDescent="0.3">
      <c r="A83" s="7" t="s">
        <v>50</v>
      </c>
      <c r="B83" s="4">
        <f t="shared" si="0"/>
        <v>29</v>
      </c>
    </row>
    <row r="84" spans="1:9" x14ac:dyDescent="0.3">
      <c r="A84" s="8" t="s">
        <v>54</v>
      </c>
      <c r="B84" s="8">
        <f>SUM(B65:B83)</f>
        <v>414</v>
      </c>
    </row>
    <row r="86" spans="1:9" ht="22.35" customHeight="1" x14ac:dyDescent="0.3">
      <c r="A86" s="9" t="s">
        <v>55</v>
      </c>
      <c r="B86" s="9"/>
      <c r="C86" s="9"/>
      <c r="D86" s="9"/>
      <c r="E86" s="9"/>
      <c r="F86" s="9"/>
      <c r="G86" s="14"/>
      <c r="H86" s="14"/>
      <c r="I86" s="14"/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zoomScaleNormal="100" workbookViewId="0">
      <pane ySplit="1" topLeftCell="A2" activePane="bottomLeft" state="frozen"/>
      <selection pane="bottomLeft" activeCell="G21" sqref="G21"/>
    </sheetView>
  </sheetViews>
  <sheetFormatPr defaultColWidth="8.6640625" defaultRowHeight="14.4" x14ac:dyDescent="0.3"/>
  <cols>
    <col min="1" max="1" width="14" customWidth="1"/>
    <col min="2" max="2" width="26" customWidth="1"/>
    <col min="3" max="3" width="20" customWidth="1"/>
    <col min="4" max="4" width="18" customWidth="1"/>
  </cols>
  <sheetData>
    <row r="1" spans="1:4" x14ac:dyDescent="0.3">
      <c r="A1" s="2" t="s">
        <v>56</v>
      </c>
      <c r="B1" s="2" t="s">
        <v>57</v>
      </c>
      <c r="C1" s="2" t="s">
        <v>58</v>
      </c>
      <c r="D1" s="2" t="s">
        <v>5</v>
      </c>
    </row>
    <row r="2" spans="1:4" x14ac:dyDescent="0.3">
      <c r="A2" s="4" t="s">
        <v>59</v>
      </c>
      <c r="B2" s="4"/>
      <c r="C2" s="4">
        <v>46</v>
      </c>
      <c r="D2" s="4" t="s">
        <v>60</v>
      </c>
    </row>
    <row r="3" spans="1:4" x14ac:dyDescent="0.3">
      <c r="A3" s="4" t="s">
        <v>61</v>
      </c>
      <c r="B3" s="4"/>
      <c r="C3" s="4">
        <v>48</v>
      </c>
      <c r="D3" s="4" t="s">
        <v>60</v>
      </c>
    </row>
    <row r="4" spans="1:4" x14ac:dyDescent="0.3">
      <c r="A4" s="4" t="s">
        <v>62</v>
      </c>
      <c r="B4" s="4"/>
      <c r="C4" s="4">
        <v>28</v>
      </c>
      <c r="D4" s="4" t="s">
        <v>60</v>
      </c>
    </row>
    <row r="5" spans="1:4" x14ac:dyDescent="0.3">
      <c r="A5" s="4" t="s">
        <v>63</v>
      </c>
      <c r="B5" s="4"/>
      <c r="C5" s="4">
        <v>67</v>
      </c>
      <c r="D5" s="4" t="s">
        <v>60</v>
      </c>
    </row>
    <row r="6" spans="1:4" x14ac:dyDescent="0.3">
      <c r="A6" s="4" t="s">
        <v>64</v>
      </c>
      <c r="B6" s="4"/>
      <c r="C6" s="4">
        <v>48</v>
      </c>
      <c r="D6" s="4" t="s">
        <v>60</v>
      </c>
    </row>
    <row r="7" spans="1:4" x14ac:dyDescent="0.3">
      <c r="A7" s="4" t="s">
        <v>65</v>
      </c>
      <c r="B7" s="4"/>
      <c r="C7" s="4">
        <v>49</v>
      </c>
      <c r="D7" s="4" t="s">
        <v>60</v>
      </c>
    </row>
    <row r="8" spans="1:4" x14ac:dyDescent="0.3">
      <c r="A8" s="4" t="s">
        <v>66</v>
      </c>
      <c r="B8" s="4"/>
      <c r="C8" s="4">
        <v>38</v>
      </c>
      <c r="D8" s="4" t="s">
        <v>60</v>
      </c>
    </row>
    <row r="9" spans="1:4" x14ac:dyDescent="0.3">
      <c r="A9" s="4" t="s">
        <v>67</v>
      </c>
      <c r="B9" s="4"/>
      <c r="C9" s="4">
        <v>47</v>
      </c>
      <c r="D9" s="4" t="s">
        <v>60</v>
      </c>
    </row>
    <row r="10" spans="1:4" x14ac:dyDescent="0.3">
      <c r="A10" s="4" t="s">
        <v>68</v>
      </c>
      <c r="B10" s="4"/>
      <c r="C10" s="4">
        <v>48</v>
      </c>
      <c r="D10" s="4" t="s">
        <v>60</v>
      </c>
    </row>
    <row r="11" spans="1:4" x14ac:dyDescent="0.3">
      <c r="A11" s="4" t="s">
        <v>69</v>
      </c>
      <c r="B11" s="4"/>
      <c r="C11" s="4">
        <v>48</v>
      </c>
      <c r="D11" s="4" t="s">
        <v>60</v>
      </c>
    </row>
    <row r="12" spans="1:4" x14ac:dyDescent="0.3">
      <c r="A12" s="4" t="s">
        <v>70</v>
      </c>
      <c r="B12" s="4"/>
      <c r="C12" s="4">
        <v>45</v>
      </c>
      <c r="D12" s="4" t="s">
        <v>60</v>
      </c>
    </row>
    <row r="13" spans="1:4" x14ac:dyDescent="0.3">
      <c r="A13" s="4" t="s">
        <v>71</v>
      </c>
      <c r="B13" s="4"/>
      <c r="C13" s="4">
        <v>49</v>
      </c>
      <c r="D13" s="4" t="s">
        <v>60</v>
      </c>
    </row>
    <row r="14" spans="1:4" x14ac:dyDescent="0.3">
      <c r="A14" s="4" t="s">
        <v>72</v>
      </c>
      <c r="B14" s="4"/>
      <c r="C14" s="4">
        <v>49</v>
      </c>
      <c r="D14" s="4" t="s">
        <v>60</v>
      </c>
    </row>
    <row r="15" spans="1:4" x14ac:dyDescent="0.3">
      <c r="A15" s="4" t="s">
        <v>73</v>
      </c>
      <c r="B15" s="4"/>
      <c r="C15" s="4">
        <v>9</v>
      </c>
      <c r="D15" s="4" t="s">
        <v>60</v>
      </c>
    </row>
    <row r="16" spans="1:4" x14ac:dyDescent="0.3">
      <c r="A16" s="8" t="s">
        <v>74</v>
      </c>
      <c r="B16" s="10"/>
      <c r="C16" s="8">
        <f>SUM(C2:C15)</f>
        <v>619</v>
      </c>
      <c r="D16" s="10"/>
    </row>
    <row r="18" spans="1:4" ht="32.85" customHeight="1" x14ac:dyDescent="0.3">
      <c r="A18" s="1" t="s">
        <v>75</v>
      </c>
      <c r="B18" s="1"/>
      <c r="C18" s="1"/>
      <c r="D18" s="1"/>
    </row>
  </sheetData>
  <mergeCells count="1"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Lace Stock by Colour</vt:lpstr>
      <vt:lpstr>Purses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 Dept</cp:lastModifiedBy>
  <cp:revision>0</cp:revision>
  <dcterms:created xsi:type="dcterms:W3CDTF">2026-08-06T07:57:45Z</dcterms:created>
  <dcterms:modified xsi:type="dcterms:W3CDTF">2026-08-07T07:22:03Z</dcterms:modified>
  <dc:language>en-US</dc:language>
</cp:coreProperties>
</file>